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cd05ec31d3c7a8/Desktop/"/>
    </mc:Choice>
  </mc:AlternateContent>
  <xr:revisionPtr revIDLastSave="731" documentId="8_{8DD1DA79-5035-4A44-BBF6-46ECDD85A832}" xr6:coauthVersionLast="47" xr6:coauthVersionMax="47" xr10:uidLastSave="{3401C68B-6235-4AC5-8160-8E7F156FE639}"/>
  <bookViews>
    <workbookView xWindow="-108" yWindow="-108" windowWidth="23256" windowHeight="12456" activeTab="1" xr2:uid="{DE425E6B-E896-464B-A27D-7D3A9B0485F6}"/>
  </bookViews>
  <sheets>
    <sheet name="Sheet1" sheetId="1" r:id="rId1"/>
    <sheet name="Sheet3" sheetId="3" r:id="rId2"/>
  </sheets>
  <definedNames>
    <definedName name="Min">Sheet1!$N$3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N3" i="1"/>
  <c r="N4" i="1"/>
  <c r="N2" i="1"/>
  <c r="J11" i="1"/>
  <c r="W11" i="1"/>
  <c r="J12" i="1"/>
  <c r="W12" i="1"/>
  <c r="J13" i="1"/>
  <c r="W13" i="1"/>
  <c r="J14" i="1"/>
  <c r="J15" i="1"/>
  <c r="W5" i="1"/>
  <c r="W2" i="1"/>
  <c r="W3" i="1"/>
  <c r="W4" i="1"/>
  <c r="W6" i="1"/>
  <c r="W7" i="1"/>
  <c r="W8" i="1"/>
  <c r="W9" i="1"/>
  <c r="W10" i="1"/>
  <c r="T4" i="1"/>
  <c r="T3" i="1"/>
  <c r="T2" i="1"/>
  <c r="Q4" i="1"/>
  <c r="Q5" i="1"/>
  <c r="Q3" i="1"/>
  <c r="Q2" i="1"/>
  <c r="J2" i="1"/>
  <c r="J3" i="1"/>
  <c r="J4" i="1"/>
  <c r="J5" i="1"/>
  <c r="J6" i="1"/>
  <c r="J7" i="1"/>
  <c r="J8" i="1"/>
  <c r="J9" i="1"/>
  <c r="J10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<sst xmlns="http://schemas.openxmlformats.org/spreadsheetml/2006/main" count="128" uniqueCount="61">
  <si>
    <t>StudentID</t>
  </si>
  <si>
    <t>Name</t>
  </si>
  <si>
    <t>Skill</t>
  </si>
  <si>
    <t>Level</t>
  </si>
  <si>
    <t>StudyHours</t>
  </si>
  <si>
    <t>PracticeHours</t>
  </si>
  <si>
    <t>SkillScore</t>
  </si>
  <si>
    <t>CoursesCompleted</t>
  </si>
  <si>
    <t>TotalCourses</t>
  </si>
  <si>
    <t>Completion%</t>
  </si>
  <si>
    <t>Month</t>
  </si>
  <si>
    <t>Asha</t>
  </si>
  <si>
    <t>Python</t>
  </si>
  <si>
    <t>Beginner</t>
  </si>
  <si>
    <t>Jan</t>
  </si>
  <si>
    <t>Ravi</t>
  </si>
  <si>
    <t>Excel</t>
  </si>
  <si>
    <t>Intermediate</t>
  </si>
  <si>
    <t>Feb</t>
  </si>
  <si>
    <t>Neha</t>
  </si>
  <si>
    <t>SQL</t>
  </si>
  <si>
    <t>Mar</t>
  </si>
  <si>
    <t>Aman</t>
  </si>
  <si>
    <t>Apr</t>
  </si>
  <si>
    <t>Kiran</t>
  </si>
  <si>
    <t>Power BI</t>
  </si>
  <si>
    <t>May</t>
  </si>
  <si>
    <t>Riya</t>
  </si>
  <si>
    <t>Advanced</t>
  </si>
  <si>
    <t>Jun</t>
  </si>
  <si>
    <t>Arjun</t>
  </si>
  <si>
    <t>Jul</t>
  </si>
  <si>
    <t>Pooja</t>
  </si>
  <si>
    <t>Aug</t>
  </si>
  <si>
    <t>Rohit</t>
  </si>
  <si>
    <t>Sep</t>
  </si>
  <si>
    <t>Sneha</t>
  </si>
  <si>
    <t>Oct</t>
  </si>
  <si>
    <t>Nitin</t>
  </si>
  <si>
    <t>Nov</t>
  </si>
  <si>
    <t>Kavya</t>
  </si>
  <si>
    <t>Dec</t>
  </si>
  <si>
    <t>Varun</t>
  </si>
  <si>
    <t>Anjali</t>
  </si>
  <si>
    <t>Sanjay</t>
  </si>
  <si>
    <t>Meena</t>
  </si>
  <si>
    <t>Rahul</t>
  </si>
  <si>
    <t>Simran</t>
  </si>
  <si>
    <t>Akash</t>
  </si>
  <si>
    <t>Divya</t>
  </si>
  <si>
    <t>Column1</t>
  </si>
  <si>
    <t>Column2</t>
  </si>
  <si>
    <t>Column3</t>
  </si>
  <si>
    <t>Column4</t>
  </si>
  <si>
    <t>Average skill score</t>
  </si>
  <si>
    <t>Power Bi</t>
  </si>
  <si>
    <t>Sql</t>
  </si>
  <si>
    <t>Students Skill Level</t>
  </si>
  <si>
    <t>Average</t>
  </si>
  <si>
    <t>Skills</t>
  </si>
  <si>
    <t>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</si>
</sst>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0" fontId="5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Average skill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Sheet1!$P$2:$P$21</c:f>
              <c:strCache>
                <c:ptCount val="4"/>
                <c:pt idx="0">
                  <c:v>Python</c:v>
                </c:pt>
                <c:pt idx="1">
                  <c:v>Excel</c:v>
                </c:pt>
                <c:pt idx="2">
                  <c:v>Power Bi</c:v>
                </c:pt>
                <c:pt idx="3">
                  <c:v>Sql</c:v>
                </c:pt>
              </c:strCache>
            </c:strRef>
          </c:cat>
          <c:val>
            <c:numRef>
              <c:f>Sheet1!$Q$2:$Q$21</c:f>
              <c:numCache>
                <c:formatCode>General</c:formatCode>
                <c:ptCount val="20"/>
                <c:pt idx="0">
                  <c:v>76.666666666666671</c:v>
                </c:pt>
                <c:pt idx="1">
                  <c:v>76.2</c:v>
                </c:pt>
                <c:pt idx="2">
                  <c:v>69</c:v>
                </c:pt>
                <c:pt idx="3">
                  <c:v>68.599999999999994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0-46DB-87A4-F208707A3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256257215"/>
        <c:axId val="256257695"/>
      </c:barChart>
      <c:catAx>
        <c:axId val="25625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Skills</a:t>
                </a:r>
              </a:p>
            </c:rich>
          </c:tx>
          <c:layout>
            <c:manualLayout>
              <c:xMode val="edge"/>
              <c:yMode val="edge"/>
              <c:x val="0.5062900022642608"/>
              <c:y val="0.828138812850578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57695"/>
        <c:crosses val="autoZero"/>
        <c:auto val="1"/>
        <c:lblAlgn val="ctr"/>
        <c:lblOffset val="100"/>
        <c:noMultiLvlLbl val="0"/>
      </c:catAx>
      <c:valAx>
        <c:axId val="25625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Average</a:t>
                </a:r>
                <a:r>
                  <a:rPr lang="en-IN" sz="1400" b="1" baseline="0"/>
                  <a:t> Skill Score</a:t>
                </a:r>
                <a:endParaRPr lang="en-IN" sz="1400" b="1"/>
              </a:p>
            </c:rich>
          </c:tx>
          <c:layout>
            <c:manualLayout>
              <c:xMode val="edge"/>
              <c:yMode val="edge"/>
              <c:x val="1.9763650600444084E-2"/>
              <c:y val="0.19347512223318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5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Students Skill 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Sheet1!$S$2:$S$21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Advanced</c:v>
                </c:pt>
              </c:strCache>
            </c:strRef>
          </c:cat>
          <c:val>
            <c:numRef>
              <c:f>Sheet1!$T$2:$T$21</c:f>
              <c:numCache>
                <c:formatCode>General</c:formatCode>
                <c:ptCount val="20"/>
                <c:pt idx="0">
                  <c:v>7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F-4755-8A71-4361C3C1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311234287"/>
        <c:axId val="311234767"/>
      </c:barChart>
      <c:catAx>
        <c:axId val="31123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1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1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4767"/>
        <c:crosses val="autoZero"/>
        <c:auto val="1"/>
        <c:lblAlgn val="ctr"/>
        <c:lblOffset val="100"/>
        <c:noMultiLvlLbl val="0"/>
      </c:catAx>
      <c:valAx>
        <c:axId val="3112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1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Average Skill Score 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7634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1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1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1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Sheet1!$V$2:$V$21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Sheet1!$W$2:$W$21</c:f>
              <c:numCache>
                <c:formatCode>General</c:formatCode>
                <c:ptCount val="20"/>
                <c:pt idx="0">
                  <c:v>73</c:v>
                </c:pt>
                <c:pt idx="1">
                  <c:v>73</c:v>
                </c:pt>
                <c:pt idx="2">
                  <c:v>52</c:v>
                </c:pt>
                <c:pt idx="3">
                  <c:v>79</c:v>
                </c:pt>
                <c:pt idx="4">
                  <c:v>57.5</c:v>
                </c:pt>
                <c:pt idx="5">
                  <c:v>91.5</c:v>
                </c:pt>
                <c:pt idx="6">
                  <c:v>75.5</c:v>
                </c:pt>
                <c:pt idx="7">
                  <c:v>93.5</c:v>
                </c:pt>
                <c:pt idx="8">
                  <c:v>70</c:v>
                </c:pt>
                <c:pt idx="9">
                  <c:v>52</c:v>
                </c:pt>
                <c:pt idx="10">
                  <c:v>88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0-4293-B6AF-DBF8CC3D4D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0703839"/>
        <c:axId val="690692319"/>
      </c:lineChart>
      <c:catAx>
        <c:axId val="69070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92319"/>
        <c:crosses val="autoZero"/>
        <c:auto val="1"/>
        <c:lblAlgn val="ctr"/>
        <c:lblOffset val="150"/>
        <c:noMultiLvlLbl val="0"/>
      </c:catAx>
      <c:valAx>
        <c:axId val="69069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 Average</a:t>
                </a:r>
                <a:r>
                  <a:rPr lang="en-IN" sz="1400" b="1" baseline="0"/>
                  <a:t> Skill Score</a:t>
                </a:r>
                <a:endParaRPr lang="en-IN" sz="1400" b="1"/>
              </a:p>
            </c:rich>
          </c:tx>
          <c:layout>
            <c:manualLayout>
              <c:xMode val="edge"/>
              <c:yMode val="edge"/>
              <c:x val="2.4918904553619139E-2"/>
              <c:y val="0.16605694688969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0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176820</xdr:colOff>
      <xdr:row>19</xdr:row>
      <xdr:rowOff>85380</xdr:rowOff>
    </xdr:from>
    <xdr:to>
      <xdr:col>11</xdr:col>
      <xdr:colOff>54900</xdr:colOff>
      <xdr:row>30</xdr:row>
      <xdr:rowOff>85380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6364ECD-662B-A236-CA60-3B93B8642619}"/>
            </a:ext>
          </a:extLst>
        </xdr:cNvPr>
        <xdr:cNvSpPr/>
      </xdr:nvSpPr>
      <xdr:spPr>
        <a:xfrm>
          <a:off x="3206459" y="3831115"/>
          <a:ext cx="3513646" cy="2019759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rgbClr val="002060"/>
              </a:solidFill>
            </a:rPr>
            <a:t>                      KPI</a:t>
          </a:r>
          <a:r>
            <a:rPr lang="en-IN" sz="1800" b="1" baseline="0">
              <a:solidFill>
                <a:srgbClr val="002060"/>
              </a:solidFill>
            </a:rPr>
            <a:t> Cards</a:t>
          </a:r>
          <a:endParaRPr lang="en-IN" sz="1800" b="1">
            <a:solidFill>
              <a:srgbClr val="002060"/>
            </a:solidFill>
          </a:endParaRPr>
        </a:p>
        <a:p>
          <a:pPr algn="l"/>
          <a:r>
            <a:rPr lang="en-IN" sz="1600" b="1"/>
            <a:t> </a:t>
          </a:r>
          <a:r>
            <a:rPr lang="en-IN" sz="1600" b="1">
              <a:solidFill>
                <a:sysClr val="windowText" lastClr="000000"/>
              </a:solidFill>
            </a:rPr>
            <a:t>Total Students              </a:t>
          </a:r>
          <a:r>
            <a:rPr lang="en-IN" sz="1600" b="1"/>
            <a:t>:</a:t>
          </a:r>
        </a:p>
        <a:p>
          <a:pPr algn="l"/>
          <a:r>
            <a:rPr lang="en-IN" sz="1800" b="1" baseline="0"/>
            <a:t> </a:t>
          </a:r>
          <a:r>
            <a:rPr lang="en-IN" sz="1600" b="1" baseline="0"/>
            <a:t>Min Skill Score              :</a:t>
          </a:r>
        </a:p>
        <a:p>
          <a:pPr algn="l"/>
          <a:r>
            <a:rPr lang="en-IN" sz="1600" b="1" baseline="0"/>
            <a:t> Max Skill Score             :</a:t>
          </a:r>
        </a:p>
        <a:p>
          <a:pPr algn="l"/>
          <a:r>
            <a:rPr lang="en-IN" sz="1600" b="1" baseline="0"/>
            <a:t> Average Skill Score      :</a:t>
          </a:r>
        </a:p>
        <a:p>
          <a:pPr algn="l"/>
          <a:r>
            <a:rPr lang="en-IN" sz="1600" b="1" baseline="0"/>
            <a:t> Average Study Hours  </a:t>
          </a:r>
          <a:r>
            <a:rPr lang="en-IN" sz="1800" b="1" baseline="0"/>
            <a:t>:</a:t>
          </a:r>
        </a:p>
        <a:p>
          <a:pPr algn="l"/>
          <a:r>
            <a:rPr lang="en-IN" sz="1800" b="1" baseline="0"/>
            <a:t> </a:t>
          </a:r>
        </a:p>
        <a:p>
          <a:pPr algn="l"/>
          <a:r>
            <a:rPr lang="en-IN" sz="1800" b="1" baseline="0"/>
            <a:t> </a:t>
          </a:r>
          <a:r>
            <a:rPr lang="en-IN" sz="1800" b="1"/>
            <a:t>                                </a:t>
          </a:r>
        </a:p>
      </xdr:txBody>
    </xdr:sp>
    <xdr:clientData/>
  </xdr:twoCellAnchor>
  <xdr:twoCellAnchor>
    <xdr:from>
      <xdr:col>0</xdr:col>
      <xdr:colOff>243840</xdr:colOff>
      <xdr:row>4</xdr:row>
      <xdr:rowOff>137160</xdr:rowOff>
    </xdr:from>
    <xdr:to>
      <xdr:col>6</xdr:col>
      <xdr:colOff>463837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34A8A-0445-4920-BB25-DDAB55671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563245</xdr:colOff>
      <xdr:row>4</xdr:row>
      <xdr:rowOff>168592</xdr:rowOff>
    </xdr:from>
    <xdr:to>
      <xdr:col>13</xdr:col>
      <xdr:colOff>272702</xdr:colOff>
      <xdr:row>17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BCDB7A-72DD-4B01-B8C1-A3780B70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284878</xdr:colOff>
      <xdr:row>22</xdr:row>
      <xdr:rowOff>171313</xdr:rowOff>
    </xdr:from>
    <xdr:to>
      <xdr:col>10</xdr:col>
      <xdr:colOff>101998</xdr:colOff>
      <xdr:row>24</xdr:row>
      <xdr:rowOff>178933</xdr:rowOff>
    </xdr:to>
    <xdr:sp macro="" textlink="Sheet1!N3">
      <xdr:nvSpPr>
        <xdr:cNvPr id="7" name="Rectangle 6">
          <a:extLst>
            <a:ext uri="{FF2B5EF4-FFF2-40B4-BE49-F238E27FC236}">
              <a16:creationId xmlns:a16="http://schemas.microsoft.com/office/drawing/2014/main" id="{23B48333-1036-4CDF-13A9-16FFF7E634CF}"/>
            </a:ext>
          </a:extLst>
        </xdr:cNvPr>
        <xdr:cNvSpPr/>
      </xdr:nvSpPr>
      <xdr:spPr>
        <a:xfrm>
          <a:off x="5738227" y="4467891"/>
          <a:ext cx="423048" cy="37484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9EB862B-7FA0-4D59-8962-55A48069A46B}" type="TxLink">
            <a:rPr lang="en-US" sz="18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l"/>
            <a:t>50</a:t>
          </a:fld>
          <a:endParaRPr lang="en-IN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9</xdr:col>
      <xdr:colOff>280380</xdr:colOff>
      <xdr:row>21</xdr:row>
      <xdr:rowOff>103742</xdr:rowOff>
    </xdr:from>
    <xdr:to>
      <xdr:col>10</xdr:col>
      <xdr:colOff>105120</xdr:colOff>
      <xdr:row>23</xdr:row>
      <xdr:rowOff>58022</xdr:rowOff>
    </xdr:to>
    <xdr:sp macro="" textlink="Sheet1!L2">
      <xdr:nvSpPr>
        <xdr:cNvPr id="8" name="Rectangle 7">
          <a:extLst>
            <a:ext uri="{FF2B5EF4-FFF2-40B4-BE49-F238E27FC236}">
              <a16:creationId xmlns:a16="http://schemas.microsoft.com/office/drawing/2014/main" id="{16C2EA0B-815E-C6F8-CB12-68FC1AC49D75}"/>
            </a:ext>
          </a:extLst>
        </xdr:cNvPr>
        <xdr:cNvSpPr/>
      </xdr:nvSpPr>
      <xdr:spPr>
        <a:xfrm>
          <a:off x="5733729" y="4216706"/>
          <a:ext cx="430668" cy="3215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4721C21-1D5B-4271-B56F-790803E8729E}" type="TxLink">
            <a:rPr lang="en-US" sz="18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l"/>
            <a:t>20</a:t>
          </a:fld>
          <a:endParaRPr lang="en-IN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9</xdr:col>
      <xdr:colOff>304800</xdr:colOff>
      <xdr:row>25</xdr:row>
      <xdr:rowOff>152400</xdr:rowOff>
    </xdr:from>
    <xdr:to>
      <xdr:col>10</xdr:col>
      <xdr:colOff>251460</xdr:colOff>
      <xdr:row>27</xdr:row>
      <xdr:rowOff>114300</xdr:rowOff>
    </xdr:to>
    <xdr:sp macro="" textlink="Sheet1!M2">
      <xdr:nvSpPr>
        <xdr:cNvPr id="9" name="Rectangle 8">
          <a:extLst>
            <a:ext uri="{FF2B5EF4-FFF2-40B4-BE49-F238E27FC236}">
              <a16:creationId xmlns:a16="http://schemas.microsoft.com/office/drawing/2014/main" id="{9B638D58-01AC-039B-55FB-E1133DF66D9E}"/>
            </a:ext>
          </a:extLst>
        </xdr:cNvPr>
        <xdr:cNvSpPr/>
      </xdr:nvSpPr>
      <xdr:spPr>
        <a:xfrm>
          <a:off x="5791200" y="4724400"/>
          <a:ext cx="55626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FFA004A-2989-48B7-A756-6637B3190243}" type="TxLink">
            <a:rPr lang="en-US" sz="18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l"/>
            <a:t>73</a:t>
          </a:fld>
          <a:endParaRPr lang="en-IN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9</xdr:col>
      <xdr:colOff>304800</xdr:colOff>
      <xdr:row>24</xdr:row>
      <xdr:rowOff>68580</xdr:rowOff>
    </xdr:from>
    <xdr:to>
      <xdr:col>10</xdr:col>
      <xdr:colOff>167640</xdr:colOff>
      <xdr:row>26</xdr:row>
      <xdr:rowOff>83820</xdr:rowOff>
    </xdr:to>
    <xdr:sp macro="" textlink="Sheet1!N2">
      <xdr:nvSpPr>
        <xdr:cNvPr id="10" name="Rectangle 9">
          <a:extLst>
            <a:ext uri="{FF2B5EF4-FFF2-40B4-BE49-F238E27FC236}">
              <a16:creationId xmlns:a16="http://schemas.microsoft.com/office/drawing/2014/main" id="{35BC1568-D5E3-EAB3-E350-9998403748A7}"/>
            </a:ext>
          </a:extLst>
        </xdr:cNvPr>
        <xdr:cNvSpPr/>
      </xdr:nvSpPr>
      <xdr:spPr>
        <a:xfrm>
          <a:off x="5791200" y="4457700"/>
          <a:ext cx="47244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51672E5-3F7C-4D6C-8DEB-4DE7338481ED}" type="TxLink">
            <a:rPr lang="en-US" sz="18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l"/>
            <a:t>95</a:t>
          </a:fld>
          <a:endParaRPr lang="en-IN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9</xdr:col>
      <xdr:colOff>297180</xdr:colOff>
      <xdr:row>27</xdr:row>
      <xdr:rowOff>38100</xdr:rowOff>
    </xdr:from>
    <xdr:to>
      <xdr:col>10</xdr:col>
      <xdr:colOff>449580</xdr:colOff>
      <xdr:row>29</xdr:row>
      <xdr:rowOff>38100</xdr:rowOff>
    </xdr:to>
    <xdr:sp macro="" textlink="Sheet1!N4">
      <xdr:nvSpPr>
        <xdr:cNvPr id="11" name="Rectangle 10">
          <a:extLst>
            <a:ext uri="{FF2B5EF4-FFF2-40B4-BE49-F238E27FC236}">
              <a16:creationId xmlns:a16="http://schemas.microsoft.com/office/drawing/2014/main" id="{055DD2AF-CAFE-3041-CF66-CB04594CC0A8}"/>
            </a:ext>
          </a:extLst>
        </xdr:cNvPr>
        <xdr:cNvSpPr/>
      </xdr:nvSpPr>
      <xdr:spPr>
        <a:xfrm>
          <a:off x="5783580" y="4975860"/>
          <a:ext cx="762000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747F05E-E493-4E43-A0CF-7C5B66894BE1}" type="TxLink">
            <a:rPr lang="en-US" sz="18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l"/>
            <a:t>35.95</a:t>
          </a:fld>
          <a:endParaRPr lang="en-IN" sz="1800" b="1">
            <a:solidFill>
              <a:srgbClr val="C00000"/>
            </a:solidFill>
          </a:endParaRPr>
        </a:p>
      </xdr:txBody>
    </xdr:sp>
    <xdr:clientData/>
  </xdr:twoCellAnchor>
  <xdr:twoCellAnchor>
    <xdr:from>
      <xdr:col>14</xdr:col>
      <xdr:colOff>13137</xdr:colOff>
      <xdr:row>4</xdr:row>
      <xdr:rowOff>131380</xdr:rowOff>
    </xdr:from>
    <xdr:to>
      <xdr:col>21</xdr:col>
      <xdr:colOff>275896</xdr:colOff>
      <xdr:row>17</xdr:row>
      <xdr:rowOff>55563</xdr:rowOff>
    </xdr:to>
    <xdr:graphicFrame macro="">
      <xdr:nvGraphicFramePr>
        <xdr:cNvPr id="5" name="Chart 11">
          <a:extLst>
            <a:ext uri="{FF2B5EF4-FFF2-40B4-BE49-F238E27FC236}">
              <a16:creationId xmlns:a16="http://schemas.microsoft.com/office/drawing/2014/main" id="{5492B3E7-95E5-433B-A7DB-FFC49F224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11E1C-500B-4D3B-AB4B-A0B595A13F97}" name="Table1" displayName="Table1" ref="A1:P21" totalsRowShown="0" headerRowDxfId="7">
  <autoFilter ref="A1:P21" xr:uid="{EAF11E1C-500B-4D3B-AB4B-A0B595A13F97}"/>
  <tableColumns count="16">
    <tableColumn id="1" xr3:uid="{1909352E-6555-4284-BBF6-0597219B1FA1}" name="StudentID"/>
    <tableColumn id="2" xr3:uid="{470D3F27-BDD6-431D-8456-057A12C3FACB}" name="Name"/>
    <tableColumn id="3" xr3:uid="{D159D6EA-EA0C-452A-86CF-EFE9E64FC436}" name="Skill"/>
    <tableColumn id="4" xr3:uid="{EA763079-06F3-46E1-AA0A-DD2C31458BE4}" name="Level"/>
    <tableColumn id="5" xr3:uid="{64B5F4F1-33D7-4BCE-8091-7E77FA13C07D}" name="StudyHours"/>
    <tableColumn id="6" xr3:uid="{DB7FEBCD-01DE-46F4-93FC-1418E6036D92}" name="PracticeHours"/>
    <tableColumn id="7" xr3:uid="{9A53206D-68D0-4543-A84B-0C041204875F}" name="SkillScore"/>
    <tableColumn id="8" xr3:uid="{2101AC70-B6EF-4268-9DC0-095AB1C1145F}" name="CoursesCompleted"/>
    <tableColumn id="9" xr3:uid="{2CB969D3-14C2-4890-89C3-8869E9DC4EB2}" name="TotalCourses"/>
    <tableColumn id="10" xr3:uid="{C70622F2-4DE8-47B0-B2E3-07AC591AB86E}" name="Completion%" dataDxfId="6">
      <calculatedColumnFormula>(H2/I2)</calculatedColumnFormula>
    </tableColumn>
    <tableColumn id="11" xr3:uid="{F7FCC340-4750-438D-9429-E2D6B6907EAD}" name="Month"/>
    <tableColumn id="12" xr3:uid="{A39031A0-EEE6-4C26-82BA-B413EA64CD56}" name="Column1" dataDxfId="5">
      <calculatedColumnFormula>COUNT(A:A)</calculatedColumnFormula>
    </tableColumn>
    <tableColumn id="13" xr3:uid="{57F1542E-ECA3-48B4-B0BC-280222E5CEE6}" name="Column2" dataDxfId="4">
      <calculatedColumnFormula>AVERAGE(G:G)</calculatedColumnFormula>
    </tableColumn>
    <tableColumn id="14" xr3:uid="{86B8C169-FAD1-42CB-9CC7-BF705FBD0982}" name="Column3" dataDxfId="3">
      <calculatedColumnFormula>MAX(G:G)</calculatedColumnFormula>
    </tableColumn>
    <tableColumn id="16" xr3:uid="{B310988F-3546-4D89-8263-1D7A8CEE44FB}" name="Column4" dataDxfId="2">
      <calculatedColumnFormula>O1</calculatedColumnFormula>
    </tableColumn>
    <tableColumn id="17" xr3:uid="{E96415C4-6642-4480-8FD5-3EEED69F8443}" name="Skill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99C5C8-B6E9-4289-9613-64E4045D2593}" name="Table3" displayName="Table3" ref="Q1:V4" totalsRowShown="0">
  <autoFilter ref="Q1:V4" xr:uid="{3699C5C8-B6E9-4289-9613-64E4045D2593}"/>
  <tableColumns count="6">
    <tableColumn id="1" xr3:uid="{ADDB3781-2F50-4DD8-A906-3CD524B04E0E}" name="Average skill score"/>
    <tableColumn id="2" xr3:uid="{FF77FAC8-19A5-4A11-853E-8230E152EA83}" name="Column1"/>
    <tableColumn id="3" xr3:uid="{3D33F4A4-52DB-4065-BEF9-429DF2CBA32C}" name="Level"/>
    <tableColumn id="4" xr3:uid="{CEDF7382-15AC-414A-A3FD-27CA5CF09019}" name="Students Skill Level"/>
    <tableColumn id="5" xr3:uid="{3BF1B3F8-761D-46AA-81A7-BE6F4A6C01BE}" name="Column2" dataDxfId="0"/>
    <tableColumn id="8" xr3:uid="{13DFB1EC-1073-4EF3-BCE2-7C4F797052ED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0A48-DB25-4E98-9A44-E07295CF70F6}">
  <dimension ref="A1:AI21"/>
  <sheetViews>
    <sheetView zoomScale="49" workbookViewId="0">
      <selection activeCell="W2" sqref="W2"/>
    </sheetView>
  </sheetViews>
  <sheetFormatPr defaultRowHeight="14.4" x14ac:dyDescent="0.3"/>
  <cols>
    <col min="1" max="1" width="11.33203125" customWidth="1"/>
    <col min="2" max="2" width="16.44140625" customWidth="1"/>
    <col min="3" max="3" width="32.77734375" customWidth="1"/>
    <col min="4" max="4" width="14.6640625" customWidth="1"/>
    <col min="5" max="5" width="13" bestFit="1" customWidth="1"/>
    <col min="6" max="6" width="3.5546875" hidden="1" customWidth="1"/>
    <col min="7" max="7" width="14.5546875" customWidth="1"/>
    <col min="8" max="8" width="8.77734375" hidden="1" customWidth="1"/>
    <col min="9" max="9" width="15.33203125" hidden="1" customWidth="1"/>
    <col min="10" max="10" width="14.109375" hidden="1" customWidth="1"/>
    <col min="16" max="16" width="8.5546875" customWidth="1"/>
    <col min="17" max="17" width="6.77734375" customWidth="1"/>
    <col min="18" max="18" width="6.44140625" customWidth="1"/>
    <col min="19" max="19" width="5.5546875" customWidth="1"/>
    <col min="20" max="20" width="6.4414062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59</v>
      </c>
      <c r="Q1" t="s">
        <v>54</v>
      </c>
      <c r="R1" t="s">
        <v>50</v>
      </c>
      <c r="S1" s="1" t="s">
        <v>3</v>
      </c>
      <c r="T1" s="1" t="s">
        <v>57</v>
      </c>
      <c r="U1" t="s">
        <v>51</v>
      </c>
      <c r="V1" t="s">
        <v>10</v>
      </c>
      <c r="W1" t="s">
        <v>58</v>
      </c>
    </row>
    <row r="2" spans="1:35" x14ac:dyDescent="0.3">
      <c r="A2">
        <v>101</v>
      </c>
      <c r="B2" t="s">
        <v>11</v>
      </c>
      <c r="C2" t="s">
        <v>12</v>
      </c>
      <c r="D2" t="s">
        <v>13</v>
      </c>
      <c r="E2">
        <v>20</v>
      </c>
      <c r="F2">
        <v>15</v>
      </c>
      <c r="G2">
        <v>55</v>
      </c>
      <c r="H2">
        <v>2</v>
      </c>
      <c r="I2">
        <v>5</v>
      </c>
      <c r="J2" s="2">
        <f t="shared" ref="J2:J21" si="0">(H2/I2)</f>
        <v>0.4</v>
      </c>
      <c r="K2" t="s">
        <v>14</v>
      </c>
      <c r="L2">
        <f>COUNT(A:A)</f>
        <v>20</v>
      </c>
      <c r="M2">
        <f>AVERAGE(G:G)</f>
        <v>73</v>
      </c>
      <c r="N2">
        <f>MAX(G:G)</f>
        <v>95</v>
      </c>
      <c r="P2" t="s">
        <v>12</v>
      </c>
      <c r="Q2">
        <f>AVERAGEIFS(G:G,C:C,"python")</f>
        <v>76.666666666666671</v>
      </c>
      <c r="S2" t="s">
        <v>13</v>
      </c>
      <c r="T2">
        <f>COUNTIF(D:D,"Beginner")</f>
        <v>7</v>
      </c>
      <c r="V2" t="s">
        <v>14</v>
      </c>
      <c r="W2">
        <f>AVERAGEIFS(G:G,K:K,"Jan")</f>
        <v>73</v>
      </c>
    </row>
    <row r="3" spans="1:35" x14ac:dyDescent="0.3">
      <c r="A3">
        <v>102</v>
      </c>
      <c r="B3" t="s">
        <v>15</v>
      </c>
      <c r="C3" t="s">
        <v>16</v>
      </c>
      <c r="D3" t="s">
        <v>17</v>
      </c>
      <c r="E3">
        <v>35</v>
      </c>
      <c r="F3">
        <v>25</v>
      </c>
      <c r="G3">
        <v>72</v>
      </c>
      <c r="H3">
        <v>3</v>
      </c>
      <c r="I3">
        <v>5</v>
      </c>
      <c r="J3" s="2">
        <f t="shared" si="0"/>
        <v>0.6</v>
      </c>
      <c r="K3" t="s">
        <v>18</v>
      </c>
      <c r="N3">
        <f>MIN(G:G)</f>
        <v>50</v>
      </c>
      <c r="P3" t="s">
        <v>16</v>
      </c>
      <c r="Q3">
        <f>AVERAGEIFS(G:G,C:C,"excel")</f>
        <v>76.2</v>
      </c>
      <c r="S3" t="s">
        <v>17</v>
      </c>
      <c r="T3">
        <f>COUNTIF(D:D,"intermediate")</f>
        <v>7</v>
      </c>
      <c r="V3" t="s">
        <v>18</v>
      </c>
      <c r="W3">
        <f>AVERAGEIFS(G:G,K:K,"Feb")</f>
        <v>73</v>
      </c>
    </row>
    <row r="4" spans="1:35" x14ac:dyDescent="0.3">
      <c r="A4">
        <v>103</v>
      </c>
      <c r="B4" t="s">
        <v>19</v>
      </c>
      <c r="C4" t="s">
        <v>20</v>
      </c>
      <c r="D4" t="s">
        <v>13</v>
      </c>
      <c r="E4">
        <v>18</v>
      </c>
      <c r="F4">
        <v>10</v>
      </c>
      <c r="G4">
        <v>50</v>
      </c>
      <c r="H4">
        <v>1</v>
      </c>
      <c r="I4">
        <v>4</v>
      </c>
      <c r="J4" s="2">
        <f t="shared" si="0"/>
        <v>0.25</v>
      </c>
      <c r="K4" t="s">
        <v>21</v>
      </c>
      <c r="N4">
        <f>AVERAGE(E:E)</f>
        <v>35.950000000000003</v>
      </c>
      <c r="P4" t="s">
        <v>55</v>
      </c>
      <c r="Q4">
        <f>AVERAGEIFS(G:G,C:C,"power bi")</f>
        <v>69</v>
      </c>
      <c r="S4" t="s">
        <v>28</v>
      </c>
      <c r="T4">
        <f>COUNTIF(D:D,"advanced")</f>
        <v>6</v>
      </c>
      <c r="V4" t="s">
        <v>21</v>
      </c>
      <c r="W4">
        <f>AVERAGEIFS(G:G,K:K,"Mar")</f>
        <v>52</v>
      </c>
    </row>
    <row r="5" spans="1:35" x14ac:dyDescent="0.3">
      <c r="A5">
        <v>104</v>
      </c>
      <c r="B5" t="s">
        <v>22</v>
      </c>
      <c r="C5" t="s">
        <v>12</v>
      </c>
      <c r="D5" t="s">
        <v>17</v>
      </c>
      <c r="E5">
        <v>40</v>
      </c>
      <c r="F5">
        <v>30</v>
      </c>
      <c r="G5">
        <v>78</v>
      </c>
      <c r="H5">
        <v>4</v>
      </c>
      <c r="I5">
        <v>6</v>
      </c>
      <c r="J5" s="2">
        <f t="shared" si="0"/>
        <v>0.66666666666666663</v>
      </c>
      <c r="K5" t="s">
        <v>23</v>
      </c>
      <c r="P5" t="s">
        <v>56</v>
      </c>
      <c r="Q5">
        <f>AVERAGEIFS(G:G,C:C,"sql")</f>
        <v>68.599999999999994</v>
      </c>
      <c r="V5" t="s">
        <v>23</v>
      </c>
      <c r="W5">
        <f>AVERAGEIFS(G:G,K:K,"Apr")</f>
        <v>79</v>
      </c>
    </row>
    <row r="6" spans="1:35" x14ac:dyDescent="0.3">
      <c r="A6">
        <v>105</v>
      </c>
      <c r="B6" t="s">
        <v>24</v>
      </c>
      <c r="C6" t="s">
        <v>25</v>
      </c>
      <c r="D6" t="s">
        <v>13</v>
      </c>
      <c r="E6">
        <v>22</v>
      </c>
      <c r="F6">
        <v>18</v>
      </c>
      <c r="G6">
        <v>58</v>
      </c>
      <c r="H6">
        <v>2</v>
      </c>
      <c r="I6">
        <v>5</v>
      </c>
      <c r="J6" s="2">
        <f t="shared" si="0"/>
        <v>0.4</v>
      </c>
      <c r="K6" t="s">
        <v>26</v>
      </c>
      <c r="V6" t="s">
        <v>26</v>
      </c>
      <c r="W6">
        <f>AVERAGEIFS(G:G,K:K,"May")</f>
        <v>57.5</v>
      </c>
    </row>
    <row r="7" spans="1:35" x14ac:dyDescent="0.3">
      <c r="A7">
        <v>106</v>
      </c>
      <c r="B7" t="s">
        <v>27</v>
      </c>
      <c r="C7" t="s">
        <v>16</v>
      </c>
      <c r="D7" t="s">
        <v>28</v>
      </c>
      <c r="E7">
        <v>50</v>
      </c>
      <c r="F7">
        <v>40</v>
      </c>
      <c r="G7">
        <v>90</v>
      </c>
      <c r="H7">
        <v>5</v>
      </c>
      <c r="I7">
        <v>6</v>
      </c>
      <c r="J7" s="2">
        <f t="shared" si="0"/>
        <v>0.83333333333333337</v>
      </c>
      <c r="K7" t="s">
        <v>29</v>
      </c>
      <c r="V7" t="s">
        <v>29</v>
      </c>
      <c r="W7">
        <f>AVERAGEIFS(G:G,K:K,"Jun")</f>
        <v>91.5</v>
      </c>
    </row>
    <row r="8" spans="1:35" x14ac:dyDescent="0.3">
      <c r="A8">
        <v>107</v>
      </c>
      <c r="B8" t="s">
        <v>30</v>
      </c>
      <c r="C8" t="s">
        <v>20</v>
      </c>
      <c r="D8" t="s">
        <v>17</v>
      </c>
      <c r="E8">
        <v>38</v>
      </c>
      <c r="F8">
        <v>30</v>
      </c>
      <c r="G8">
        <v>75</v>
      </c>
      <c r="H8">
        <v>3</v>
      </c>
      <c r="I8">
        <v>5</v>
      </c>
      <c r="J8" s="2">
        <f t="shared" si="0"/>
        <v>0.6</v>
      </c>
      <c r="K8" t="s">
        <v>31</v>
      </c>
      <c r="V8" t="s">
        <v>31</v>
      </c>
      <c r="W8">
        <f>AVERAGEIFS(G:G,K:K,"Jul")</f>
        <v>75.5</v>
      </c>
    </row>
    <row r="9" spans="1:35" x14ac:dyDescent="0.3">
      <c r="A9">
        <v>108</v>
      </c>
      <c r="B9" t="s">
        <v>32</v>
      </c>
      <c r="C9" t="s">
        <v>12</v>
      </c>
      <c r="D9" t="s">
        <v>28</v>
      </c>
      <c r="E9">
        <v>55</v>
      </c>
      <c r="F9">
        <v>45</v>
      </c>
      <c r="G9">
        <v>92</v>
      </c>
      <c r="H9">
        <v>5</v>
      </c>
      <c r="I9">
        <v>6</v>
      </c>
      <c r="J9" s="2">
        <f t="shared" si="0"/>
        <v>0.83333333333333337</v>
      </c>
      <c r="K9" t="s">
        <v>33</v>
      </c>
      <c r="V9" t="s">
        <v>33</v>
      </c>
      <c r="W9">
        <f>AVERAGEIFS(G:G,K:K,"Aug")</f>
        <v>93.5</v>
      </c>
      <c r="AE9" s="1"/>
    </row>
    <row r="10" spans="1:35" x14ac:dyDescent="0.3">
      <c r="A10">
        <v>109</v>
      </c>
      <c r="B10" t="s">
        <v>34</v>
      </c>
      <c r="C10" t="s">
        <v>25</v>
      </c>
      <c r="D10" t="s">
        <v>17</v>
      </c>
      <c r="E10">
        <v>34</v>
      </c>
      <c r="F10">
        <v>28</v>
      </c>
      <c r="G10">
        <v>70</v>
      </c>
      <c r="H10">
        <v>3</v>
      </c>
      <c r="I10">
        <v>5</v>
      </c>
      <c r="J10" s="2">
        <f t="shared" si="0"/>
        <v>0.6</v>
      </c>
      <c r="K10" t="s">
        <v>35</v>
      </c>
      <c r="V10" t="s">
        <v>35</v>
      </c>
      <c r="W10">
        <f>AVERAGEIFS(G:G,K:K,"Sep")</f>
        <v>70</v>
      </c>
    </row>
    <row r="11" spans="1:35" x14ac:dyDescent="0.3">
      <c r="A11">
        <v>110</v>
      </c>
      <c r="B11" t="s">
        <v>36</v>
      </c>
      <c r="C11" t="s">
        <v>16</v>
      </c>
      <c r="D11" t="s">
        <v>13</v>
      </c>
      <c r="E11">
        <v>20</v>
      </c>
      <c r="F11">
        <v>15</v>
      </c>
      <c r="G11">
        <v>52</v>
      </c>
      <c r="H11">
        <v>2</v>
      </c>
      <c r="I11">
        <v>5</v>
      </c>
      <c r="J11" s="2">
        <f t="shared" si="0"/>
        <v>0.4</v>
      </c>
      <c r="K11" t="s">
        <v>37</v>
      </c>
      <c r="V11" t="s">
        <v>37</v>
      </c>
      <c r="W11">
        <f>AVERAGEIFS(G:G,K:K,"Oct")</f>
        <v>52</v>
      </c>
      <c r="AD11" s="1"/>
      <c r="AI11" s="1"/>
    </row>
    <row r="12" spans="1:35" x14ac:dyDescent="0.3">
      <c r="A12">
        <v>111</v>
      </c>
      <c r="B12" t="s">
        <v>38</v>
      </c>
      <c r="C12" t="s">
        <v>20</v>
      </c>
      <c r="D12" t="s">
        <v>28</v>
      </c>
      <c r="E12">
        <v>48</v>
      </c>
      <c r="F12">
        <v>40</v>
      </c>
      <c r="G12">
        <v>88</v>
      </c>
      <c r="H12">
        <v>5</v>
      </c>
      <c r="I12">
        <v>6</v>
      </c>
      <c r="J12" s="2">
        <f t="shared" si="0"/>
        <v>0.83333333333333337</v>
      </c>
      <c r="K12" t="s">
        <v>39</v>
      </c>
      <c r="V12" t="s">
        <v>39</v>
      </c>
      <c r="W12">
        <f>AVERAGEIFS(G:G,K:K,"Nov")</f>
        <v>88</v>
      </c>
      <c r="AD12" s="1"/>
      <c r="AI12" s="1"/>
    </row>
    <row r="13" spans="1:35" x14ac:dyDescent="0.3">
      <c r="A13">
        <v>112</v>
      </c>
      <c r="B13" t="s">
        <v>40</v>
      </c>
      <c r="C13" t="s">
        <v>12</v>
      </c>
      <c r="D13" t="s">
        <v>13</v>
      </c>
      <c r="E13">
        <v>25</v>
      </c>
      <c r="F13">
        <v>20</v>
      </c>
      <c r="G13">
        <v>60</v>
      </c>
      <c r="H13">
        <v>2</v>
      </c>
      <c r="I13">
        <v>5</v>
      </c>
      <c r="J13" s="2">
        <f t="shared" si="0"/>
        <v>0.4</v>
      </c>
      <c r="K13" t="s">
        <v>41</v>
      </c>
      <c r="V13" t="s">
        <v>41</v>
      </c>
      <c r="W13">
        <f>AVERAGEIFS(G:G,K:K,"Dec")</f>
        <v>60</v>
      </c>
      <c r="AD13" s="1"/>
      <c r="AI13" s="1"/>
    </row>
    <row r="14" spans="1:35" x14ac:dyDescent="0.3">
      <c r="A14">
        <v>113</v>
      </c>
      <c r="B14" t="s">
        <v>42</v>
      </c>
      <c r="C14" t="s">
        <v>25</v>
      </c>
      <c r="D14" t="s">
        <v>28</v>
      </c>
      <c r="E14">
        <v>52</v>
      </c>
      <c r="F14">
        <v>42</v>
      </c>
      <c r="G14">
        <v>91</v>
      </c>
      <c r="H14">
        <v>5</v>
      </c>
      <c r="I14">
        <v>6</v>
      </c>
      <c r="J14" s="2">
        <f t="shared" si="0"/>
        <v>0.83333333333333337</v>
      </c>
      <c r="K14" t="s">
        <v>14</v>
      </c>
      <c r="AD14" s="1"/>
      <c r="AI14" s="1"/>
    </row>
    <row r="15" spans="1:35" x14ac:dyDescent="0.3">
      <c r="A15">
        <v>114</v>
      </c>
      <c r="B15" t="s">
        <v>43</v>
      </c>
      <c r="C15" t="s">
        <v>16</v>
      </c>
      <c r="D15" t="s">
        <v>17</v>
      </c>
      <c r="E15">
        <v>36</v>
      </c>
      <c r="F15">
        <v>28</v>
      </c>
      <c r="G15">
        <v>74</v>
      </c>
      <c r="H15">
        <v>3</v>
      </c>
      <c r="I15">
        <v>5</v>
      </c>
      <c r="J15" s="2">
        <f t="shared" si="0"/>
        <v>0.6</v>
      </c>
      <c r="K15" t="s">
        <v>18</v>
      </c>
      <c r="AD15" s="1"/>
      <c r="AI15" s="1"/>
    </row>
    <row r="16" spans="1:35" x14ac:dyDescent="0.3">
      <c r="A16">
        <v>115</v>
      </c>
      <c r="B16" t="s">
        <v>44</v>
      </c>
      <c r="C16" t="s">
        <v>20</v>
      </c>
      <c r="D16" t="s">
        <v>13</v>
      </c>
      <c r="E16">
        <v>19</v>
      </c>
      <c r="F16">
        <v>14</v>
      </c>
      <c r="G16">
        <v>54</v>
      </c>
      <c r="H16">
        <v>2</v>
      </c>
      <c r="I16">
        <v>5</v>
      </c>
      <c r="J16" s="2">
        <f t="shared" si="0"/>
        <v>0.4</v>
      </c>
      <c r="K16" t="s">
        <v>21</v>
      </c>
    </row>
    <row r="17" spans="1:11" x14ac:dyDescent="0.3">
      <c r="A17">
        <v>116</v>
      </c>
      <c r="B17" t="s">
        <v>45</v>
      </c>
      <c r="C17" t="s">
        <v>12</v>
      </c>
      <c r="D17" t="s">
        <v>17</v>
      </c>
      <c r="E17">
        <v>42</v>
      </c>
      <c r="F17">
        <v>32</v>
      </c>
      <c r="G17">
        <v>80</v>
      </c>
      <c r="H17">
        <v>4</v>
      </c>
      <c r="I17">
        <v>6</v>
      </c>
      <c r="J17" s="2">
        <f t="shared" si="0"/>
        <v>0.66666666666666663</v>
      </c>
      <c r="K17" t="s">
        <v>23</v>
      </c>
    </row>
    <row r="18" spans="1:11" x14ac:dyDescent="0.3">
      <c r="A18">
        <v>117</v>
      </c>
      <c r="B18" t="s">
        <v>46</v>
      </c>
      <c r="C18" t="s">
        <v>25</v>
      </c>
      <c r="D18" t="s">
        <v>13</v>
      </c>
      <c r="E18">
        <v>23</v>
      </c>
      <c r="F18">
        <v>18</v>
      </c>
      <c r="G18">
        <v>57</v>
      </c>
      <c r="H18">
        <v>2</v>
      </c>
      <c r="I18">
        <v>5</v>
      </c>
      <c r="J18" s="2">
        <f t="shared" si="0"/>
        <v>0.4</v>
      </c>
      <c r="K18" t="s">
        <v>26</v>
      </c>
    </row>
    <row r="19" spans="1:11" x14ac:dyDescent="0.3">
      <c r="A19">
        <v>118</v>
      </c>
      <c r="B19" t="s">
        <v>47</v>
      </c>
      <c r="C19" t="s">
        <v>16</v>
      </c>
      <c r="D19" t="s">
        <v>28</v>
      </c>
      <c r="E19">
        <v>50</v>
      </c>
      <c r="F19">
        <v>45</v>
      </c>
      <c r="G19">
        <v>93</v>
      </c>
      <c r="H19">
        <v>5</v>
      </c>
      <c r="I19">
        <v>6</v>
      </c>
      <c r="J19" s="2">
        <f t="shared" si="0"/>
        <v>0.83333333333333337</v>
      </c>
      <c r="K19" t="s">
        <v>29</v>
      </c>
    </row>
    <row r="20" spans="1:11" x14ac:dyDescent="0.3">
      <c r="A20">
        <v>119</v>
      </c>
      <c r="B20" t="s">
        <v>48</v>
      </c>
      <c r="C20" t="s">
        <v>20</v>
      </c>
      <c r="D20" t="s">
        <v>17</v>
      </c>
      <c r="E20">
        <v>37</v>
      </c>
      <c r="F20">
        <v>30</v>
      </c>
      <c r="G20">
        <v>76</v>
      </c>
      <c r="H20">
        <v>3</v>
      </c>
      <c r="I20">
        <v>5</v>
      </c>
      <c r="J20" s="2">
        <f t="shared" si="0"/>
        <v>0.6</v>
      </c>
      <c r="K20" t="s">
        <v>31</v>
      </c>
    </row>
    <row r="21" spans="1:11" x14ac:dyDescent="0.3">
      <c r="A21">
        <v>120</v>
      </c>
      <c r="B21" t="s">
        <v>49</v>
      </c>
      <c r="C21" t="s">
        <v>12</v>
      </c>
      <c r="D21" t="s">
        <v>28</v>
      </c>
      <c r="E21">
        <v>55</v>
      </c>
      <c r="F21">
        <v>48</v>
      </c>
      <c r="G21">
        <v>95</v>
      </c>
      <c r="H21">
        <v>6</v>
      </c>
      <c r="I21">
        <v>6</v>
      </c>
      <c r="J21" s="2">
        <f t="shared" si="0"/>
        <v>1</v>
      </c>
      <c r="K21" t="s">
        <v>33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9B82-670B-4155-A4F3-2FBF5EF446BB}">
  <dimension ref="D2:Q20"/>
  <sheetViews>
    <sheetView tabSelected="1" topLeftCell="B1" zoomScale="99" workbookViewId="0">
      <selection activeCell="Q3" sqref="Q3"/>
    </sheetView>
  </sheetViews>
  <sheetFormatPr defaultRowHeight="14.4" x14ac:dyDescent="0.3"/>
  <cols>
    <col min="17" max="17" width="10" customWidth="1"/>
  </cols>
  <sheetData>
    <row r="2" spans="4:17" s="3" customFormat="1" ht="25.8" x14ac:dyDescent="0.5">
      <c r="D2" s="3" t="s">
        <v>59</v>
      </c>
      <c r="K2" s="3" t="s">
        <v>60</v>
      </c>
      <c r="Q2" s="3" t="s">
        <v>10</v>
      </c>
    </row>
    <row r="3" spans="4:17" s="4" customFormat="1" ht="23.4" x14ac:dyDescent="0.45">
      <c r="D3" s="4" t="s">
        <v>12</v>
      </c>
      <c r="K3" s="4" t="s">
        <v>13</v>
      </c>
      <c r="Q3" s="4" t="s">
        <v>21</v>
      </c>
    </row>
    <row r="20" spans="9:9" x14ac:dyDescent="0.3">
      <c r="I20" s="1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D39EED6-FE7E-4B86-9F18-C142FCFF7C2B}">
          <x14:formula1>
            <xm:f>Sheet1!$P$2:$P$6</xm:f>
          </x14:formula1>
          <xm:sqref>D3</xm:sqref>
        </x14:dataValidation>
        <x14:dataValidation type="list" allowBlank="1" showInputMessage="1" showErrorMessage="1" xr:uid="{FB709A07-2D9A-4A2C-B320-667FA9A94F53}">
          <x14:formula1>
            <xm:f>Sheet1!$S$2:$S$4</xm:f>
          </x14:formula1>
          <xm:sqref>K3</xm:sqref>
        </x14:dataValidation>
        <x14:dataValidation type="list" allowBlank="1" showInputMessage="1" showErrorMessage="1" xr:uid="{0C7C0F66-3A47-4ADF-9F9B-07DC5CBAF929}">
          <x14:formula1>
            <xm:f>Sheet1!$V$2:$V$13</xm:f>
          </x14:formula1>
          <xm:sqref>Q3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A</dc:creator>
  <cp:lastModifiedBy>Manasa A</cp:lastModifiedBy>
  <dcterms:created xsi:type="dcterms:W3CDTF">2026-01-26T15:44:47Z</dcterms:created>
  <dcterms:modified xsi:type="dcterms:W3CDTF">2026-01-28T17:19:49Z</dcterms:modified>
</cp:coreProperties>
</file>